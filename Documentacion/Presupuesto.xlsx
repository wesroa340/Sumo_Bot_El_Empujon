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esro\Desktop\Sumo Robot\Sumo_Bot_El_Empujon\Documentacion\"/>
    </mc:Choice>
  </mc:AlternateContent>
  <xr:revisionPtr revIDLastSave="0" documentId="13_ncr:1_{EF82D88B-120E-47FE-8E6D-88194B79C4BB}" xr6:coauthVersionLast="47" xr6:coauthVersionMax="47" xr10:uidLastSave="{00000000-0000-0000-0000-000000000000}"/>
  <bookViews>
    <workbookView xWindow="-110" yWindow="-110" windowWidth="19420" windowHeight="11500" xr2:uid="{D2BAF053-7DE6-4243-82FB-AD2ADD9EC4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4" i="1" l="1"/>
  <c r="H5" i="1"/>
  <c r="H6" i="1"/>
  <c r="H7" i="1"/>
  <c r="H8" i="1"/>
  <c r="H9" i="1"/>
  <c r="H10" i="1"/>
  <c r="H11" i="1"/>
  <c r="H12" i="1"/>
  <c r="H13" i="1"/>
  <c r="H14" i="1"/>
  <c r="G15" i="1"/>
  <c r="G14" i="1"/>
  <c r="G5" i="1"/>
  <c r="G6" i="1"/>
  <c r="G7" i="1"/>
  <c r="G8" i="1"/>
  <c r="G9" i="1"/>
  <c r="G10" i="1"/>
  <c r="G11" i="1"/>
  <c r="G4" i="1"/>
</calcChain>
</file>

<file path=xl/sharedStrings.xml><?xml version="1.0" encoding="utf-8"?>
<sst xmlns="http://schemas.openxmlformats.org/spreadsheetml/2006/main" count="42" uniqueCount="42">
  <si>
    <t>Precio en DOP</t>
  </si>
  <si>
    <t>Precio en USD</t>
  </si>
  <si>
    <t>Precio de libra</t>
  </si>
  <si>
    <t>Link de compra</t>
  </si>
  <si>
    <t>Componente</t>
  </si>
  <si>
    <t>Descripción / Modelo Recomendado</t>
  </si>
  <si>
    <t>Cantidad</t>
  </si>
  <si>
    <t>Microcontrolador</t>
  </si>
  <si>
    <t>Driver de Potencia</t>
  </si>
  <si>
    <t>Sensores de Oponente</t>
  </si>
  <si>
    <t>Sensores de Línea</t>
  </si>
  <si>
    <t>Alimentación</t>
  </si>
  <si>
    <t>Regulador de Voltaje</t>
  </si>
  <si>
    <t>Estructura y Chasis</t>
  </si>
  <si>
    <t>TOTAL ESTIMADO</t>
  </si>
  <si>
    <t>Conectores Dupont</t>
  </si>
  <si>
    <t>2.54mm Dupont Line 20cm 40Pin</t>
  </si>
  <si>
    <t>1 kG de PETG polymaker</t>
  </si>
  <si>
    <t xml:space="preserve">TCRT5000 </t>
  </si>
  <si>
    <t xml:space="preserve">BTS7960 </t>
  </si>
  <si>
    <t>ESP32 DevKitC</t>
  </si>
  <si>
    <t>Baterias 3.7V 18500</t>
  </si>
  <si>
    <t>VL53L0X (TOF 200C)</t>
  </si>
  <si>
    <t>LM2596 DC to DC</t>
  </si>
  <si>
    <t xml:space="preserve">BMS 3s Li-ion </t>
  </si>
  <si>
    <t>Li-ion Lithium Battery Charger Protection Board 3S</t>
  </si>
  <si>
    <t>Motores de Tracción con ruedas</t>
  </si>
  <si>
    <t>Placa Hub</t>
  </si>
  <si>
    <t>Donde se conectara Todo</t>
  </si>
  <si>
    <t>Encoder Gear Motor with Mounting Bracket 65mm Wheel Kit for Smart Car Robot DC12V JGA25-371 Machinery Equipmen Smart Car Kit - AliExpress 13</t>
  </si>
  <si>
    <t>Li-ion Lithium Battery Charger Protection Board 3S 4S 40A 60A 18650 BMS For Drill Motor 11.1V 12.6V/14.8V 16.8V Enhance/Balance - AliExpress 502</t>
  </si>
  <si>
    <t>LM2596 DC-DC Buck Converter 3.2V-46V to 1.25V-35V</t>
  </si>
  <si>
    <t>TOF050C 200C 400C Laser Ranging Sensor Module TOF Time-of-flight Distance IIC Output For Arduino VL6180 VL53L0X VL53L1X - AliExpress 502</t>
  </si>
  <si>
    <t>ESP32-DevKitC Core Board ESP32 Development Board ESP32-32D ESP32-32U For Arduino - AliExpress 502</t>
  </si>
  <si>
    <t>Double BTS7960 43A H-bridge High-power Motor Driver module/smart car/ - AliExpress 502</t>
  </si>
  <si>
    <t>10pcs/1pc TCRT5000 IR Infrared Reflectance Sensor Obstacle Avoidance Module Tracing Sensor Tracing Module For Arduino Diy Kit - AliExpress 502</t>
  </si>
  <si>
    <t>2.54mm Dupont Line 20cm 40Pin Male to Male+Female to Male + Female to Female Jumper Wire Dupont Cable DIY - AliExpress 502</t>
  </si>
  <si>
    <t>Keitron - filamentos y suministros de impresión 3D</t>
  </si>
  <si>
    <t>PCB Prototype &amp; PCB Fabrication Manufacturer - JLCPCB</t>
  </si>
  <si>
    <t>Dollar=</t>
  </si>
  <si>
    <t>Precio unitario en DOP</t>
  </si>
  <si>
    <t>JGA25-371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</si>
</sst>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7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4"/>
      <color theme="1"/>
      <name val="Times New Roman"/>
      <family val="1"/>
    </font>
    <font>
      <u/>
      <sz val="14"/>
      <color theme="10"/>
      <name val="Times New Roman"/>
      <family val="1"/>
    </font>
    <font>
      <b/>
      <sz val="14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4" fillId="0" borderId="2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right" wrapText="1"/>
    </xf>
    <xf numFmtId="44" fontId="4" fillId="0" borderId="1" xfId="1" applyFont="1" applyBorder="1" applyAlignment="1">
      <alignment vertical="center" wrapText="1"/>
    </xf>
    <xf numFmtId="44" fontId="4" fillId="0" borderId="0" xfId="0" applyNumberFormat="1" applyFont="1"/>
    <xf numFmtId="0" fontId="4" fillId="0" borderId="0" xfId="0" applyFont="1"/>
    <xf numFmtId="0" fontId="5" fillId="0" borderId="0" xfId="2" applyFont="1"/>
    <xf numFmtId="0" fontId="6" fillId="0" borderId="0" xfId="0" applyFont="1" applyAlignment="1">
      <alignment wrapText="1"/>
    </xf>
    <xf numFmtId="44" fontId="4" fillId="0" borderId="0" xfId="1" applyFont="1"/>
    <xf numFmtId="0" fontId="4" fillId="0" borderId="2" xfId="0" applyFont="1" applyBorder="1" applyAlignment="1">
      <alignment vertical="center"/>
    </xf>
    <xf numFmtId="0" fontId="4" fillId="0" borderId="1" xfId="0" applyFont="1" applyBorder="1" applyAlignment="1">
      <alignment vertical="center"/>
    </xf>
  </cellXfs>
  <cellStyles count="3">
    <cellStyle name="Currency" xfId="1" builtinId="4"/>
    <cellStyle name="Hyperlink" xfId="2" builtinId="8"/>
    <cellStyle name="Normal" xfId="0" builtinId="0"/>
  </cellStyles>
  <dxfs count="10">
    <dxf>
      <font>
        <strike val="0"/>
        <outline val="0"/>
        <shadow val="0"/>
        <vertAlign val="baseline"/>
        <sz val="14"/>
        <name val="Times New Roman"/>
        <family val="1"/>
        <scheme val="none"/>
      </font>
    </dxf>
    <dxf>
      <font>
        <strike val="0"/>
        <outline val="0"/>
        <shadow val="0"/>
        <vertAlign val="baseline"/>
        <sz val="14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numFmt numFmtId="3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bottom" textRotation="0" wrapText="1" indent="0" justifyLastLine="0" shrinkToFit="0" readingOrder="0"/>
      <border diagonalUp="0" diagonalDown="0" outline="0">
        <left/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border outline="0">
        <left style="medium">
          <color rgb="FFCCCCCC"/>
        </left>
      </border>
    </dxf>
    <dxf>
      <font>
        <strike val="0"/>
        <outline val="0"/>
        <shadow val="0"/>
        <vertAlign val="baseline"/>
        <sz val="14"/>
        <name val="Times New Roman"/>
        <family val="1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FB128F-CE2D-4622-840D-F8F6809678F4}" name="Table1" displayName="Table1" ref="C3:J15" totalsRowShown="0" dataDxfId="9" tableBorderDxfId="8">
  <autoFilter ref="C3:J15" xr:uid="{56FB128F-CE2D-4622-840D-F8F6809678F4}"/>
  <tableColumns count="8">
    <tableColumn id="1" xr3:uid="{C63E0612-C8CC-4D05-9124-D6FE424DE1D0}" name="Componente" dataDxfId="7"/>
    <tableColumn id="2" xr3:uid="{37C31126-C1C0-453E-B849-2A66DE446D72}" name="Descripción / Modelo Recomendado" dataDxfId="6"/>
    <tableColumn id="3" xr3:uid="{53C17134-B8D4-4A3F-AB34-ECA1CE877BFF}" name="Cantidad" dataDxfId="5"/>
    <tableColumn id="4" xr3:uid="{285CBBF9-AA1D-4917-BCD7-E44601C4F76D}" name="Precio en USD" dataDxfId="4" dataCellStyle="Currency"/>
    <tableColumn id="5" xr3:uid="{7C623A9C-EF69-4319-B211-C3268A231131}" name="Precio en DOP" dataDxfId="3" dataCellStyle="Currency"/>
    <tableColumn id="8" xr3:uid="{F889BF4B-8588-432D-A4CE-857F512F75A2}" name="Precio unitario en DOP" dataDxfId="2" dataCellStyle="Currency">
      <calculatedColumnFormula>Table1[[#This Row],[Precio en DOP]]/Table1[[#This Row],[Cantidad]]</calculatedColumnFormula>
    </tableColumn>
    <tableColumn id="6" xr3:uid="{3C4D9860-0BCC-454A-BAA4-AEE4499DBB83}" name="Precio de libra" dataDxfId="1"/>
    <tableColumn id="7" xr3:uid="{198E9086-D390-40E4-AE15-3C55E9B5FE02}" name="Link de compra" dataDxfId="0" dataCellStyle="Hyperlin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liexpress.us/item/3256806675662297.html?spm=a2g0o.order_detail.order_detail_item.3.1385126aZNnxDc&amp;gatewayAdapt=glo2usa" TargetMode="External"/><Relationship Id="rId3" Type="http://schemas.openxmlformats.org/officeDocument/2006/relationships/hyperlink" Target="https://www.aliexpress.us/item/3256806176287037.html?spm=a2g0o.order_detail.order_detail_item.3.233b126axxf3NY&amp;gatewayAdapt=glo2usa" TargetMode="External"/><Relationship Id="rId7" Type="http://schemas.openxmlformats.org/officeDocument/2006/relationships/hyperlink" Target="https://www.aliexpress.us/item/3256806608422854.html?spm=a2g0o.order_detail.order_detail_item.3.22aa126aN6QQXZ&amp;gatewayAdapt=glo2usa" TargetMode="External"/><Relationship Id="rId12" Type="http://schemas.openxmlformats.org/officeDocument/2006/relationships/table" Target="../tables/table1.xml"/><Relationship Id="rId2" Type="http://schemas.openxmlformats.org/officeDocument/2006/relationships/hyperlink" Target="https://www.aliexpress.us/item/3256807173737242.html?spm=a2g0o.order_detail.order_detail_item.3.6159126amEZrEA&amp;gatewayAdapt=glo2usa" TargetMode="External"/><Relationship Id="rId1" Type="http://schemas.openxmlformats.org/officeDocument/2006/relationships/hyperlink" Target="https://www.aliexpress.us/item/3256809151066825.html?spm=a2g0o.order_detail.order_detail_item.3.685b126aswUjfm&amp;gatewayAdapt=glo2usa" TargetMode="External"/><Relationship Id="rId6" Type="http://schemas.openxmlformats.org/officeDocument/2006/relationships/hyperlink" Target="https://www.aliexpress.us/item/2251801813149886.html?spm=a2g0o.order_detail.order_detail_item.3.417e126aMTcB7g&amp;gatewayAdapt=glo2usa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https://www.aliexpress.us/item/3256806905207099.html?spm=a2g0o.order_detail.order_detail_item.3.553b126aBytePj&amp;gatewayAdapt=glo2usa" TargetMode="External"/><Relationship Id="rId10" Type="http://schemas.openxmlformats.org/officeDocument/2006/relationships/hyperlink" Target="https://jlcpcb.com/" TargetMode="External"/><Relationship Id="rId4" Type="http://schemas.openxmlformats.org/officeDocument/2006/relationships/hyperlink" Target="https://www.aliexpress.us/item/3256807669930096.html?spm=a2g0o.order_detail.order_detail_item.3.7f93126as8NEse&amp;gatewayAdapt=glo2usa" TargetMode="External"/><Relationship Id="rId9" Type="http://schemas.openxmlformats.org/officeDocument/2006/relationships/hyperlink" Target="https://keitron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A3E28-8BFD-4E55-8281-6329FD0D6757}">
  <dimension ref="C2:J15"/>
  <sheetViews>
    <sheetView tabSelected="1" workbookViewId="0">
      <selection activeCell="J4" sqref="J4"/>
    </sheetView>
  </sheetViews>
  <sheetFormatPr defaultRowHeight="14.5" x14ac:dyDescent="0.35"/>
  <cols>
    <col min="3" max="3" width="21.54296875" customWidth="1"/>
    <col min="4" max="4" width="33.7265625" customWidth="1"/>
    <col min="5" max="5" width="16.1796875" customWidth="1"/>
    <col min="6" max="6" width="16.26953125" customWidth="1"/>
    <col min="7" max="8" width="15.26953125" customWidth="1"/>
    <col min="9" max="9" width="15.7265625" customWidth="1"/>
    <col min="10" max="10" width="28.7265625" customWidth="1"/>
  </cols>
  <sheetData>
    <row r="2" spans="3:10" ht="15" thickBot="1" x14ac:dyDescent="0.4">
      <c r="F2" t="s">
        <v>39</v>
      </c>
      <c r="G2">
        <v>61.09</v>
      </c>
    </row>
    <row r="3" spans="3:10" ht="15" thickBot="1" x14ac:dyDescent="0.4">
      <c r="C3" s="2" t="s">
        <v>4</v>
      </c>
      <c r="D3" s="1" t="s">
        <v>5</v>
      </c>
      <c r="E3" s="1" t="s">
        <v>6</v>
      </c>
      <c r="F3" t="s">
        <v>1</v>
      </c>
      <c r="G3" t="s">
        <v>0</v>
      </c>
      <c r="H3" t="s">
        <v>40</v>
      </c>
      <c r="I3" t="s">
        <v>2</v>
      </c>
      <c r="J3" t="s">
        <v>3</v>
      </c>
    </row>
    <row r="4" spans="3:10" ht="18.5" thickBot="1" x14ac:dyDescent="0.45">
      <c r="C4" s="3" t="s">
        <v>7</v>
      </c>
      <c r="D4" s="4" t="s">
        <v>20</v>
      </c>
      <c r="E4" s="5">
        <v>2</v>
      </c>
      <c r="F4" s="6">
        <v>9.59</v>
      </c>
      <c r="G4" s="7">
        <f>$G$2*F4</f>
        <v>585.85310000000004</v>
      </c>
      <c r="H4" s="7">
        <f>Table1[[#This Row],[Precio en DOP]]/Table1[[#This Row],[Cantidad]]</f>
        <v>292.92655000000002</v>
      </c>
      <c r="I4" s="8"/>
      <c r="J4" s="9" t="s">
        <v>33</v>
      </c>
    </row>
    <row r="5" spans="3:10" ht="36.5" thickBot="1" x14ac:dyDescent="0.45">
      <c r="C5" s="3" t="s">
        <v>26</v>
      </c>
      <c r="D5" s="4" t="s">
        <v>41</v>
      </c>
      <c r="E5" s="5">
        <v>2</v>
      </c>
      <c r="F5" s="6">
        <v>23.77</v>
      </c>
      <c r="G5" s="7">
        <f t="shared" ref="G5:G11" si="0">$G$2*F5</f>
        <v>1452.1093000000001</v>
      </c>
      <c r="H5" s="7">
        <f>Table1[[#This Row],[Precio en DOP]]/Table1[[#This Row],[Cantidad]]</f>
        <v>726.05465000000004</v>
      </c>
      <c r="I5" s="8"/>
      <c r="J5" s="9" t="s">
        <v>29</v>
      </c>
    </row>
    <row r="6" spans="3:10" ht="18.5" thickBot="1" x14ac:dyDescent="0.45">
      <c r="C6" s="3" t="s">
        <v>8</v>
      </c>
      <c r="D6" s="4" t="s">
        <v>19</v>
      </c>
      <c r="E6" s="5">
        <v>2</v>
      </c>
      <c r="F6" s="6">
        <v>7.45</v>
      </c>
      <c r="G6" s="7">
        <f t="shared" si="0"/>
        <v>455.12050000000005</v>
      </c>
      <c r="H6" s="7">
        <f>Table1[[#This Row],[Precio en DOP]]/Table1[[#This Row],[Cantidad]]</f>
        <v>227.56025000000002</v>
      </c>
      <c r="I6" s="8"/>
      <c r="J6" s="9" t="s">
        <v>34</v>
      </c>
    </row>
    <row r="7" spans="3:10" ht="36.5" thickBot="1" x14ac:dyDescent="0.45">
      <c r="C7" s="3" t="s">
        <v>9</v>
      </c>
      <c r="D7" s="4" t="s">
        <v>22</v>
      </c>
      <c r="E7" s="4">
        <v>3</v>
      </c>
      <c r="F7" s="6">
        <v>9.69</v>
      </c>
      <c r="G7" s="7">
        <f t="shared" si="0"/>
        <v>591.96209999999996</v>
      </c>
      <c r="H7" s="7">
        <f>Table1[[#This Row],[Precio en DOP]]/Table1[[#This Row],[Cantidad]]</f>
        <v>197.32069999999999</v>
      </c>
      <c r="I7" s="8"/>
      <c r="J7" s="9" t="s">
        <v>32</v>
      </c>
    </row>
    <row r="8" spans="3:10" ht="18.5" thickBot="1" x14ac:dyDescent="0.45">
      <c r="C8" s="3" t="s">
        <v>10</v>
      </c>
      <c r="D8" s="4" t="s">
        <v>18</v>
      </c>
      <c r="E8" s="4">
        <v>5</v>
      </c>
      <c r="F8" s="6">
        <v>3.67</v>
      </c>
      <c r="G8" s="7">
        <f t="shared" si="0"/>
        <v>224.2003</v>
      </c>
      <c r="H8" s="7">
        <f>Table1[[#This Row],[Precio en DOP]]/Table1[[#This Row],[Cantidad]]</f>
        <v>44.840060000000001</v>
      </c>
      <c r="I8" s="8"/>
      <c r="J8" s="9" t="s">
        <v>35</v>
      </c>
    </row>
    <row r="9" spans="3:10" ht="36.5" thickBot="1" x14ac:dyDescent="0.45">
      <c r="C9" s="3" t="s">
        <v>12</v>
      </c>
      <c r="D9" s="4" t="s">
        <v>23</v>
      </c>
      <c r="E9" s="5">
        <v>2</v>
      </c>
      <c r="F9" s="6">
        <v>2.25</v>
      </c>
      <c r="G9" s="7">
        <f t="shared" si="0"/>
        <v>137.45250000000001</v>
      </c>
      <c r="H9" s="7">
        <f>Table1[[#This Row],[Precio en DOP]]/Table1[[#This Row],[Cantidad]]</f>
        <v>68.726250000000007</v>
      </c>
      <c r="I9" s="8"/>
      <c r="J9" s="9" t="s">
        <v>31</v>
      </c>
    </row>
    <row r="10" spans="3:10" ht="36" thickBot="1" x14ac:dyDescent="0.45">
      <c r="C10" s="3" t="s">
        <v>15</v>
      </c>
      <c r="D10" s="10" t="s">
        <v>16</v>
      </c>
      <c r="E10" s="5">
        <v>120</v>
      </c>
      <c r="F10" s="6">
        <v>3.62</v>
      </c>
      <c r="G10" s="7">
        <f t="shared" si="0"/>
        <v>221.14580000000001</v>
      </c>
      <c r="H10" s="7">
        <f>Table1[[#This Row],[Precio en DOP]]/Table1[[#This Row],[Cantidad]]</f>
        <v>1.8428816666666668</v>
      </c>
      <c r="I10" s="8"/>
      <c r="J10" s="9" t="s">
        <v>36</v>
      </c>
    </row>
    <row r="11" spans="3:10" ht="36" thickBot="1" x14ac:dyDescent="0.45">
      <c r="C11" s="3" t="s">
        <v>24</v>
      </c>
      <c r="D11" s="10" t="s">
        <v>25</v>
      </c>
      <c r="E11" s="5">
        <v>1</v>
      </c>
      <c r="F11" s="6">
        <v>2.2400000000000002</v>
      </c>
      <c r="G11" s="7">
        <f t="shared" si="0"/>
        <v>136.84160000000003</v>
      </c>
      <c r="H11" s="7">
        <f>Table1[[#This Row],[Precio en DOP]]/Table1[[#This Row],[Cantidad]]</f>
        <v>136.84160000000003</v>
      </c>
      <c r="I11" s="8"/>
      <c r="J11" s="9" t="s">
        <v>30</v>
      </c>
    </row>
    <row r="12" spans="3:10" ht="18.5" thickBot="1" x14ac:dyDescent="0.45">
      <c r="C12" s="3" t="s">
        <v>11</v>
      </c>
      <c r="D12" s="4" t="s">
        <v>21</v>
      </c>
      <c r="E12" s="5">
        <v>3</v>
      </c>
      <c r="F12" s="6"/>
      <c r="G12" s="11">
        <v>300</v>
      </c>
      <c r="H12" s="11">
        <f>Table1[[#This Row],[Precio en DOP]]/Table1[[#This Row],[Cantidad]]</f>
        <v>100</v>
      </c>
      <c r="I12" s="8"/>
      <c r="J12" s="8"/>
    </row>
    <row r="13" spans="3:10" ht="18.5" thickBot="1" x14ac:dyDescent="0.45">
      <c r="C13" s="3" t="s">
        <v>13</v>
      </c>
      <c r="D13" s="4" t="s">
        <v>17</v>
      </c>
      <c r="E13" s="4">
        <v>1</v>
      </c>
      <c r="F13" s="6"/>
      <c r="G13" s="11">
        <v>1500</v>
      </c>
      <c r="H13" s="11">
        <f>Table1[[#This Row],[Precio en DOP]]/Table1[[#This Row],[Cantidad]]</f>
        <v>1500</v>
      </c>
      <c r="I13" s="8"/>
      <c r="J13" s="9" t="s">
        <v>37</v>
      </c>
    </row>
    <row r="14" spans="3:10" ht="18.5" thickBot="1" x14ac:dyDescent="0.45">
      <c r="C14" s="3" t="s">
        <v>27</v>
      </c>
      <c r="D14" s="4" t="s">
        <v>28</v>
      </c>
      <c r="E14" s="4">
        <v>1</v>
      </c>
      <c r="F14" s="6">
        <v>14</v>
      </c>
      <c r="G14" s="11">
        <f>$G$2*F14</f>
        <v>855.26</v>
      </c>
      <c r="H14" s="11">
        <f>Table1[[#This Row],[Precio en DOP]]/Table1[[#This Row],[Cantidad]]</f>
        <v>855.26</v>
      </c>
      <c r="I14" s="8"/>
      <c r="J14" s="9" t="s">
        <v>38</v>
      </c>
    </row>
    <row r="15" spans="3:10" ht="18.5" thickBot="1" x14ac:dyDescent="0.45">
      <c r="C15" s="12" t="s">
        <v>14</v>
      </c>
      <c r="D15" s="4"/>
      <c r="E15" s="4"/>
      <c r="F15" s="13"/>
      <c r="G15" s="7">
        <f>SUM(G4:G14)</f>
        <v>6459.9452000000001</v>
      </c>
      <c r="H15" s="7"/>
      <c r="I15" s="8"/>
      <c r="J15" s="8"/>
    </row>
  </sheetData>
  <hyperlinks>
    <hyperlink ref="J5" r:id="rId1" display="https://www.aliexpress.us/item/3256809151066825.html?spm=a2g0o.order_detail.order_detail_item.3.685b126aswUjfm&amp;gatewayAdapt=glo2usa" xr:uid="{7DAB6E6B-23A4-4D50-99BB-3E7EE09B471D}"/>
    <hyperlink ref="J11" r:id="rId2" display="https://www.aliexpress.us/item/3256807173737242.html?spm=a2g0o.order_detail.order_detail_item.3.6159126amEZrEA&amp;gatewayAdapt=glo2usa" xr:uid="{13797AE1-E6D9-4B73-987F-79A4E112A51A}"/>
    <hyperlink ref="J9" r:id="rId3" display="https://www.aliexpress.us/item/3256806176287037.html?spm=a2g0o.order_detail.order_detail_item.3.233b126axxf3NY&amp;gatewayAdapt=glo2usa" xr:uid="{21C2C609-FD19-4D2B-B074-3EFA4073F83B}"/>
    <hyperlink ref="J7" r:id="rId4" display="https://www.aliexpress.us/item/3256807669930096.html?spm=a2g0o.order_detail.order_detail_item.3.7f93126as8NEse&amp;gatewayAdapt=glo2usa" xr:uid="{DF4FEA88-111E-43E8-AECC-EA4B0DB1C4C1}"/>
    <hyperlink ref="J4" r:id="rId5" display="https://www.aliexpress.us/item/3256806905207099.html?spm=a2g0o.order_detail.order_detail_item.3.553b126aBytePj&amp;gatewayAdapt=glo2usa" xr:uid="{72096A00-0B85-47BE-9157-06C363819FE0}"/>
    <hyperlink ref="J6" r:id="rId6" display="https://www.aliexpress.us/item/2251801813149886.html?spm=a2g0o.order_detail.order_detail_item.3.417e126aMTcB7g&amp;gatewayAdapt=glo2usa" xr:uid="{4F43264F-7527-45D9-8DEE-A3F57379ECC4}"/>
    <hyperlink ref="J8" r:id="rId7" display="https://www.aliexpress.us/item/3256806608422854.html?spm=a2g0o.order_detail.order_detail_item.3.22aa126aN6QQXZ&amp;gatewayAdapt=glo2usa" xr:uid="{7D220145-EE5C-4490-A168-FC382F1F11F3}"/>
    <hyperlink ref="J10" r:id="rId8" display="https://www.aliexpress.us/item/3256806675662297.html?spm=a2g0o.order_detail.order_detail_item.3.1385126aZNnxDc&amp;gatewayAdapt=glo2usa" xr:uid="{0C8442E2-02A2-4B75-9C19-CF0BFE1D8004}"/>
    <hyperlink ref="J13" r:id="rId9" display="https://keitron.com/" xr:uid="{F8540C89-3700-4994-835B-F3D980B16E61}"/>
    <hyperlink ref="J14" r:id="rId10" display="https://jlcpcb.com/" xr:uid="{04E0461A-C9F4-43B5-A518-C8EA936AB761}"/>
  </hyperlinks>
  <pageMargins left="0.7" right="0.7" top="0.75" bottom="0.75" header="0.3" footer="0.3"/>
  <pageSetup orientation="portrait" r:id="rId11"/>
  <tableParts count="1">
    <tablePart r:id="rId1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Wesley Antoine Rosario Pineda</dc:creator>
  <cp:lastModifiedBy>Wesley Antoine Rosario Pineda</cp:lastModifiedBy>
  <dcterms:created xsi:type="dcterms:W3CDTF">2026-10-14T16:37:48Z</dcterms:created>
  <dcterms:modified xsi:type="dcterms:W3CDTF">2026-10-25T23:01:02Z</dcterms:modified>
</cp:coreProperties>
</file>